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rket Curves" sheetId="2" state="visible" r:id="rId2"/>
    <sheet name="Calendar Spreads" sheetId="3" state="visible" r:id="rId3"/>
    <sheet name="Futures Positions" sheetId="4" state="visible" r:id="rId4"/>
    <sheet name="Physical Cargoes" sheetId="5" state="visible" r:id="rId5"/>
    <sheet name="Net Exposure" sheetId="6" state="visible" r:id="rId6"/>
    <sheet name="Hedge Simulation" sheetId="7" state="visible" r:id="rId7"/>
    <sheet name="Stress P&amp;L" sheetId="8" state="visible" r:id="rId8"/>
    <sheet name="Assumptions" sheetId="9" state="visible" r:id="rId9"/>
  </sheets>
  <definedNames>
    <definedName name="_xlnm._FilterDatabase" localSheetId="1" hidden="1">'Market Curves'!$A$1:$I$7</definedName>
    <definedName name="_xlnm._FilterDatabase" localSheetId="2" hidden="1">'Calendar Spreads'!$A$1:$F$5</definedName>
    <definedName name="_xlnm._FilterDatabase" localSheetId="3" hidden="1">'Futures Positions'!$A$1:$K$7</definedName>
    <definedName name="_xlnm._FilterDatabase" localSheetId="4" hidden="1">'Physical Cargoes'!$A$1:$P$6</definedName>
    <definedName name="_xlnm._FilterDatabase" localSheetId="5" hidden="1">'Net Exposure'!$A$1:$I$7</definedName>
    <definedName name="_xlnm._FilterDatabase" localSheetId="6" hidden="1">'Hedge Simulation'!$A$1:$M$7</definedName>
    <definedName name="_xlnm._FilterDatabase" localSheetId="7" hidden="1">'Stress P&amp;L'!$A$1:$I$7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$#,##0;[Red]-$#,##0"/>
  </numFmts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2F8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Forward Curves</a:t>
            </a:r>
          </a:p>
        </rich>
      </tx>
    </title>
    <plotArea>
      <lineChart>
        <grouping val="standard"/>
        <ser>
          <idx val="0"/>
          <order val="0"/>
          <tx>
            <strRef>
              <f>'Market Curves'!L1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'Market Curves'!$K$2:$K$4</f>
            </numRef>
          </cat>
          <val>
            <numRef>
              <f>'Market Curves'!$L$2:$L$4</f>
            </numRef>
          </val>
        </ser>
        <ser>
          <idx val="1"/>
          <order val="1"/>
          <tx>
            <strRef>
              <f>'Market Curves'!M1</f>
            </strRef>
          </tx>
          <spPr>
            <a:ln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'Market Curves'!$K$2:$K$4</f>
            </numRef>
          </cat>
          <val>
            <numRef>
              <f>'Market Curves'!$M$2:$M$4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Contract 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6"/>
          <min val="7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USD/bbl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Net Exposure by Bucket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'Net Exposure'!F1</f>
            </strRef>
          </tx>
          <spPr>
            <a:ln>
              <a:prstDash val="solid"/>
            </a:ln>
          </spPr>
          <cat>
            <numRef>
              <f>'Net Exposure'!$I$2:$I$7</f>
            </numRef>
          </cat>
          <val>
            <numRef>
              <f>'Net Exposure'!$F$2:$F$7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bbl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Stress P&amp;L by Bucket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'Stress P&amp;L'!G1</f>
            </strRef>
          </tx>
          <spPr>
            <a:ln>
              <a:prstDash val="solid"/>
            </a:ln>
          </spPr>
          <cat>
            <numRef>
              <f>'Stress P&amp;L'!$I$2:$I$7</f>
            </numRef>
          </cat>
          <val>
            <numRef>
              <f>'Stress P&amp;L'!$G$2:$G$7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7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FlowDeck Commodity Trading Intelligence Report</t>
        </is>
      </c>
      <c r="B1" s="2" t="n"/>
      <c r="C1" s="2" t="n"/>
      <c r="D1" s="2" t="n"/>
      <c r="E1" s="2" t="n"/>
    </row>
    <row r="2">
      <c r="A2" s="3" t="n"/>
      <c r="B2" s="3" t="n"/>
      <c r="C2" s="3" t="n"/>
      <c r="D2" s="3" t="n"/>
      <c r="E2" s="3" t="n"/>
    </row>
    <row r="3">
      <c r="A3" s="3" t="inlineStr">
        <is>
          <t>Generated timestamp</t>
        </is>
      </c>
      <c r="B3" s="3" t="inlineStr">
        <is>
          <t>2026-05-17T16:21:00+00:00</t>
        </is>
      </c>
      <c r="C3" s="3" t="n"/>
      <c r="D3" s="3" t="n"/>
      <c r="E3" s="3" t="n"/>
    </row>
    <row r="4">
      <c r="A4" s="3" t="inlineStr">
        <is>
          <t>Scope</t>
        </is>
      </c>
      <c r="B4" s="3" t="inlineStr">
        <is>
          <t>Oil / Brent-WTI / synthetic demo data</t>
        </is>
      </c>
      <c r="C4" s="3" t="n"/>
      <c r="D4" s="3" t="n"/>
      <c r="E4" s="3" t="n"/>
    </row>
    <row r="5">
      <c r="A5" s="3" t="inlineStr">
        <is>
          <t>Note</t>
        </is>
      </c>
      <c r="B5" s="3" t="inlineStr">
        <is>
          <t>Analytics only. Hedge recommendations require human review.</t>
        </is>
      </c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4" t="inlineStr">
        <is>
          <t>Key Metrics</t>
        </is>
      </c>
      <c r="B7" s="3" t="n"/>
      <c r="C7" s="3" t="n"/>
      <c r="D7" s="3" t="n"/>
      <c r="E7" s="3" t="n"/>
    </row>
    <row r="8">
      <c r="A8" s="5" t="inlineStr">
        <is>
          <t>Metric</t>
        </is>
      </c>
      <c r="B8" s="5" t="inlineStr">
        <is>
          <t>Value</t>
        </is>
      </c>
      <c r="C8" s="5" t="n"/>
      <c r="D8" s="5" t="n"/>
      <c r="E8" s="5" t="n"/>
    </row>
    <row r="9">
      <c r="A9" s="3" t="inlineStr">
        <is>
          <t>Number of market data rows</t>
        </is>
      </c>
      <c r="B9" s="3" t="n">
        <v>6</v>
      </c>
      <c r="C9" s="3" t="n"/>
      <c r="D9" s="3" t="n"/>
      <c r="E9" s="3" t="n"/>
    </row>
    <row r="10">
      <c r="A10" s="3" t="inlineStr">
        <is>
          <t>Number of curve summaries</t>
        </is>
      </c>
      <c r="B10" s="3" t="n">
        <v>2</v>
      </c>
      <c r="C10" s="3" t="n"/>
      <c r="D10" s="3" t="n"/>
      <c r="E10" s="3" t="n"/>
    </row>
    <row r="11">
      <c r="A11" s="3" t="inlineStr">
        <is>
          <t>Number of futures positions</t>
        </is>
      </c>
      <c r="B11" s="3" t="n">
        <v>6</v>
      </c>
      <c r="C11" s="3" t="n"/>
      <c r="D11" s="3" t="n"/>
      <c r="E11" s="3" t="n"/>
    </row>
    <row r="12">
      <c r="A12" s="3" t="inlineStr">
        <is>
          <t>Number of physical cargoes</t>
        </is>
      </c>
      <c r="B12" s="3" t="n">
        <v>5</v>
      </c>
      <c r="C12" s="3" t="n"/>
      <c r="D12" s="3" t="n"/>
      <c r="E12" s="3" t="n"/>
    </row>
    <row r="13">
      <c r="A13" s="3" t="inlineStr">
        <is>
          <t>Number of net exposure buckets</t>
        </is>
      </c>
      <c r="B13" s="3" t="n">
        <v>6</v>
      </c>
      <c r="C13" s="3" t="n"/>
      <c r="D13" s="3" t="n"/>
      <c r="E13" s="3" t="n"/>
    </row>
    <row r="14">
      <c r="A14" s="3" t="inlineStr">
        <is>
          <t>Total net exposure bbl</t>
        </is>
      </c>
      <c r="B14" s="3" t="n">
        <v>406000</v>
      </c>
      <c r="C14" s="3" t="n"/>
      <c r="D14" s="3" t="n"/>
      <c r="E14" s="3" t="n"/>
    </row>
    <row r="15">
      <c r="A15" s="3" t="inlineStr">
        <is>
          <t>Total absolute net exposure bbl</t>
        </is>
      </c>
      <c r="B15" s="3" t="n">
        <v>416000</v>
      </c>
      <c r="C15" s="3" t="n"/>
      <c r="D15" s="3" t="n"/>
      <c r="E15" s="3" t="n"/>
    </row>
    <row r="16">
      <c r="A16" s="3" t="inlineStr">
        <is>
          <t>Total gross component exposure bbl</t>
        </is>
      </c>
      <c r="B16" s="3" t="n">
        <v>416000</v>
      </c>
      <c r="C16" s="3" t="n"/>
      <c r="D16" s="3" t="n"/>
      <c r="E16" s="3" t="n"/>
    </row>
    <row r="17">
      <c r="A17" s="3" t="inlineStr">
        <is>
          <t>Total post-hedge absolute net exposure bbl</t>
        </is>
      </c>
      <c r="B17" s="3" t="n">
        <v>83000</v>
      </c>
      <c r="C17" s="3" t="n"/>
      <c r="D17" s="3" t="n"/>
      <c r="E17" s="3" t="n"/>
    </row>
    <row r="18">
      <c r="A18" s="3" t="inlineStr">
        <is>
          <t>Total stress P&amp;L USD</t>
        </is>
      </c>
      <c r="B18" s="3" t="n">
        <v>-2030000</v>
      </c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4" t="inlineStr">
        <is>
          <t>Risk and Hedge Summary</t>
        </is>
      </c>
      <c r="B21" s="3" t="n"/>
      <c r="C21" s="3" t="n"/>
      <c r="D21" s="3" t="n"/>
      <c r="E21" s="3" t="n"/>
    </row>
    <row r="22">
      <c r="A22" s="5" t="inlineStr">
        <is>
          <t>Metric</t>
        </is>
      </c>
      <c r="B22" s="5" t="inlineStr">
        <is>
          <t>Value</t>
        </is>
      </c>
      <c r="C22" s="5" t="n"/>
      <c r="D22" s="5" t="n"/>
      <c r="E22" s="5" t="n"/>
    </row>
    <row r="23">
      <c r="A23" s="3" t="inlineStr">
        <is>
          <t>Largest long bucket</t>
        </is>
      </c>
      <c r="B23" s="3" t="inlineStr">
        <is>
          <t>BRENT 2026-06 / Physical Atlantic</t>
        </is>
      </c>
      <c r="C23" s="3" t="n"/>
      <c r="D23" s="3" t="n"/>
      <c r="E23" s="3" t="n"/>
    </row>
    <row r="24">
      <c r="A24" s="3" t="inlineStr">
        <is>
          <t>Largest short bucket</t>
        </is>
      </c>
      <c r="B24" s="3" t="inlineStr">
        <is>
          <t>BRENT 2026-07 / Crude Alpha</t>
        </is>
      </c>
      <c r="C24" s="3" t="n"/>
      <c r="D24" s="3" t="n"/>
      <c r="E24" s="3" t="n"/>
    </row>
    <row r="25">
      <c r="A25" s="3" t="inlineStr">
        <is>
          <t>Hedge recommendations</t>
        </is>
      </c>
      <c r="B25" s="3" t="n">
        <v>6</v>
      </c>
      <c r="C25" s="3" t="n"/>
      <c r="D25" s="3" t="n"/>
      <c r="E25" s="3" t="n"/>
    </row>
    <row r="26">
      <c r="A26" s="3" t="inlineStr">
        <is>
          <t>No-action hedge buckets</t>
        </is>
      </c>
      <c r="B26" s="3" t="n">
        <v>0</v>
      </c>
      <c r="C26" s="3" t="n"/>
      <c r="D26" s="3" t="n"/>
      <c r="E26" s="3" t="n"/>
    </row>
    <row r="27">
      <c r="A27" s="3" t="inlineStr">
        <is>
          <t>Stress scenario</t>
        </is>
      </c>
      <c r="B27" s="3" t="inlineStr">
        <is>
          <t>PARALLEL_DOWN_5</t>
        </is>
      </c>
      <c r="C27" s="3" t="n"/>
      <c r="D27" s="3" t="n"/>
      <c r="E27" s="3" t="n"/>
    </row>
    <row r="28">
      <c r="A28" s="3" t="inlineStr">
        <is>
          <t>Total stress gain USD</t>
        </is>
      </c>
      <c r="B28" s="3" t="n">
        <v>25000</v>
      </c>
      <c r="C28" s="3" t="n"/>
      <c r="D28" s="3" t="n"/>
      <c r="E28" s="3" t="n"/>
    </row>
    <row r="29">
      <c r="A29" s="3" t="inlineStr">
        <is>
          <t>Total stress loss USD</t>
        </is>
      </c>
      <c r="B29" s="3" t="n">
        <v>-2055000</v>
      </c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4" t="inlineStr">
        <is>
          <t>Assumptions Note</t>
        </is>
      </c>
      <c r="B32" s="3" t="n"/>
      <c r="C32" s="3" t="n"/>
      <c r="D32" s="3" t="n"/>
      <c r="E32" s="3" t="n"/>
    </row>
    <row r="33">
      <c r="A33" s="3" t="inlineStr">
        <is>
          <t>Synthetic demo data only; no licensed market data redistribution; not trade execution or financial advice.</t>
        </is>
      </c>
      <c r="B33" s="3" t="n"/>
      <c r="C33" s="3" t="n"/>
      <c r="D33" s="3" t="n"/>
      <c r="E33" s="3" t="n"/>
    </row>
  </sheetData>
  <mergeCells count="5">
    <mergeCell ref="A21:E21"/>
    <mergeCell ref="A7:E7"/>
    <mergeCell ref="A33:E33"/>
    <mergeCell ref="A1:E1"/>
    <mergeCell ref="A32:E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5" t="inlineStr">
        <is>
          <t>valuation_date</t>
        </is>
      </c>
      <c r="B1" s="5" t="inlineStr">
        <is>
          <t>commodity</t>
        </is>
      </c>
      <c r="C1" s="5" t="inlineStr">
        <is>
          <t>contract_code</t>
        </is>
      </c>
      <c r="D1" s="5" t="inlineStr">
        <is>
          <t>contract_month</t>
        </is>
      </c>
      <c r="E1" s="5" t="inlineStr">
        <is>
          <t>expiry_date</t>
        </is>
      </c>
      <c r="F1" s="5" t="inlineStr">
        <is>
          <t>price</t>
        </is>
      </c>
      <c r="G1" s="5" t="inlineStr">
        <is>
          <t>currency</t>
        </is>
      </c>
      <c r="H1" s="5" t="inlineStr">
        <is>
          <t>unit</t>
        </is>
      </c>
      <c r="I1" s="5" t="inlineStr">
        <is>
          <t>source</t>
        </is>
      </c>
      <c r="J1" s="2" t="n"/>
      <c r="K1" s="2" t="inlineStr">
        <is>
          <t>contract_month</t>
        </is>
      </c>
      <c r="L1" s="2" t="inlineStr">
        <is>
          <t>BRENT</t>
        </is>
      </c>
      <c r="M1" s="2" t="inlineStr">
        <is>
          <t>WTI</t>
        </is>
      </c>
    </row>
    <row r="2">
      <c r="A2" s="6" t="n">
        <v>46150</v>
      </c>
      <c r="B2" s="3" t="inlineStr">
        <is>
          <t>BRENT</t>
        </is>
      </c>
      <c r="C2" s="3" t="inlineStr">
        <is>
          <t>BRTM26</t>
        </is>
      </c>
      <c r="D2" s="3" t="inlineStr">
        <is>
          <t>2026-06</t>
        </is>
      </c>
      <c r="E2" s="6" t="n">
        <v>46171</v>
      </c>
      <c r="F2" s="7" t="n">
        <v>84.12</v>
      </c>
      <c r="G2" s="3" t="inlineStr">
        <is>
          <t>USD</t>
        </is>
      </c>
      <c r="H2" s="3" t="inlineStr">
        <is>
          <t>bbl</t>
        </is>
      </c>
      <c r="I2" s="3" t="inlineStr">
        <is>
          <t>synthetic_demo</t>
        </is>
      </c>
      <c r="J2" s="3" t="n"/>
      <c r="K2" s="3" t="inlineStr">
        <is>
          <t>2026-06</t>
        </is>
      </c>
      <c r="L2" s="3" t="n">
        <v>84.12</v>
      </c>
      <c r="M2" s="3" t="n">
        <v>79.45</v>
      </c>
    </row>
    <row r="3">
      <c r="A3" s="6" t="n">
        <v>46150</v>
      </c>
      <c r="B3" s="3" t="inlineStr">
        <is>
          <t>BRENT</t>
        </is>
      </c>
      <c r="C3" s="3" t="inlineStr">
        <is>
          <t>BRTN26</t>
        </is>
      </c>
      <c r="D3" s="3" t="inlineStr">
        <is>
          <t>2026-07</t>
        </is>
      </c>
      <c r="E3" s="6" t="n">
        <v>46203</v>
      </c>
      <c r="F3" s="7" t="n">
        <v>83.76000000000001</v>
      </c>
      <c r="G3" s="3" t="inlineStr">
        <is>
          <t>USD</t>
        </is>
      </c>
      <c r="H3" s="3" t="inlineStr">
        <is>
          <t>bbl</t>
        </is>
      </c>
      <c r="I3" s="3" t="inlineStr">
        <is>
          <t>synthetic_demo</t>
        </is>
      </c>
      <c r="J3" s="3" t="n"/>
      <c r="K3" s="3" t="inlineStr">
        <is>
          <t>2026-07</t>
        </is>
      </c>
      <c r="L3" s="3" t="n">
        <v>83.76000000000001</v>
      </c>
      <c r="M3" s="3" t="n">
        <v>79.08</v>
      </c>
    </row>
    <row r="4">
      <c r="A4" s="6" t="n">
        <v>46150</v>
      </c>
      <c r="B4" s="3" t="inlineStr">
        <is>
          <t>BRENT</t>
        </is>
      </c>
      <c r="C4" s="3" t="inlineStr">
        <is>
          <t>BRTQ26</t>
        </is>
      </c>
      <c r="D4" s="3" t="inlineStr">
        <is>
          <t>2026-08</t>
        </is>
      </c>
      <c r="E4" s="6" t="n">
        <v>46234</v>
      </c>
      <c r="F4" s="7" t="n">
        <v>83.31</v>
      </c>
      <c r="G4" s="3" t="inlineStr">
        <is>
          <t>USD</t>
        </is>
      </c>
      <c r="H4" s="3" t="inlineStr">
        <is>
          <t>bbl</t>
        </is>
      </c>
      <c r="I4" s="3" t="inlineStr">
        <is>
          <t>synthetic_demo</t>
        </is>
      </c>
      <c r="J4" s="3" t="n"/>
      <c r="K4" s="3" t="inlineStr">
        <is>
          <t>2026-08</t>
        </is>
      </c>
      <c r="L4" s="3" t="n">
        <v>83.31</v>
      </c>
      <c r="M4" s="3" t="n">
        <v>78.62</v>
      </c>
    </row>
    <row r="5">
      <c r="A5" s="6" t="n">
        <v>46150</v>
      </c>
      <c r="B5" s="3" t="inlineStr">
        <is>
          <t>WTI</t>
        </is>
      </c>
      <c r="C5" s="3" t="inlineStr">
        <is>
          <t>WTIM26</t>
        </is>
      </c>
      <c r="D5" s="3" t="inlineStr">
        <is>
          <t>2026-06</t>
        </is>
      </c>
      <c r="E5" s="6" t="n">
        <v>46162</v>
      </c>
      <c r="F5" s="7" t="n">
        <v>79.45</v>
      </c>
      <c r="G5" s="3" t="inlineStr">
        <is>
          <t>USD</t>
        </is>
      </c>
      <c r="H5" s="3" t="inlineStr">
        <is>
          <t>bbl</t>
        </is>
      </c>
      <c r="I5" s="3" t="inlineStr">
        <is>
          <t>synthetic_demo</t>
        </is>
      </c>
      <c r="J5" s="3" t="n"/>
      <c r="K5" s="3" t="n"/>
      <c r="L5" s="3" t="n"/>
      <c r="M5" s="3" t="n"/>
    </row>
    <row r="6">
      <c r="A6" s="6" t="n">
        <v>46150</v>
      </c>
      <c r="B6" s="3" t="inlineStr">
        <is>
          <t>WTI</t>
        </is>
      </c>
      <c r="C6" s="3" t="inlineStr">
        <is>
          <t>WTIN26</t>
        </is>
      </c>
      <c r="D6" s="3" t="inlineStr">
        <is>
          <t>2026-07</t>
        </is>
      </c>
      <c r="E6" s="6" t="n">
        <v>46195</v>
      </c>
      <c r="F6" s="7" t="n">
        <v>79.08</v>
      </c>
      <c r="G6" s="3" t="inlineStr">
        <is>
          <t>USD</t>
        </is>
      </c>
      <c r="H6" s="3" t="inlineStr">
        <is>
          <t>bbl</t>
        </is>
      </c>
      <c r="I6" s="3" t="inlineStr">
        <is>
          <t>synthetic_demo</t>
        </is>
      </c>
      <c r="J6" s="3" t="n"/>
      <c r="K6" s="3" t="n"/>
      <c r="L6" s="3" t="n"/>
      <c r="M6" s="3" t="n"/>
    </row>
    <row r="7">
      <c r="A7" s="6" t="n">
        <v>46150</v>
      </c>
      <c r="B7" s="3" t="inlineStr">
        <is>
          <t>WTI</t>
        </is>
      </c>
      <c r="C7" s="3" t="inlineStr">
        <is>
          <t>WTIQ26</t>
        </is>
      </c>
      <c r="D7" s="3" t="inlineStr">
        <is>
          <t>2026-08</t>
        </is>
      </c>
      <c r="E7" s="6" t="n">
        <v>46224</v>
      </c>
      <c r="F7" s="7" t="n">
        <v>78.62</v>
      </c>
      <c r="G7" s="3" t="inlineStr">
        <is>
          <t>USD</t>
        </is>
      </c>
      <c r="H7" s="3" t="inlineStr">
        <is>
          <t>bbl</t>
        </is>
      </c>
      <c r="I7" s="3" t="inlineStr">
        <is>
          <t>synthetic_demo</t>
        </is>
      </c>
      <c r="J7" s="3" t="n"/>
      <c r="K7" s="3" t="n"/>
      <c r="L7" s="3" t="n"/>
      <c r="M7" s="3" t="n"/>
    </row>
  </sheetData>
  <autoFilter ref="A1:I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5" customWidth="1" min="4" max="4"/>
    <col width="14" customWidth="1" min="5" max="5"/>
    <col width="20" customWidth="1" min="6" max="6"/>
  </cols>
  <sheetData>
    <row r="1">
      <c r="A1" s="5" t="inlineStr">
        <is>
          <t>valuation_date</t>
        </is>
      </c>
      <c r="B1" s="5" t="inlineStr">
        <is>
          <t>commodity</t>
        </is>
      </c>
      <c r="C1" s="5" t="inlineStr">
        <is>
          <t>spread_name</t>
        </is>
      </c>
      <c r="D1" s="5" t="inlineStr">
        <is>
          <t>near_contract</t>
        </is>
      </c>
      <c r="E1" s="5" t="inlineStr">
        <is>
          <t>far_contract</t>
        </is>
      </c>
      <c r="F1" s="5" t="inlineStr">
        <is>
          <t>spread_usd_per_bbl</t>
        </is>
      </c>
    </row>
    <row r="2">
      <c r="A2" s="6" t="n">
        <v>46150</v>
      </c>
      <c r="B2" s="3" t="inlineStr">
        <is>
          <t>BRENT</t>
        </is>
      </c>
      <c r="C2" s="3" t="inlineStr">
        <is>
          <t>M1_M2</t>
        </is>
      </c>
      <c r="D2" s="3" t="inlineStr">
        <is>
          <t>BRTM26</t>
        </is>
      </c>
      <c r="E2" s="3" t="inlineStr">
        <is>
          <t>BRTN26</t>
        </is>
      </c>
      <c r="F2" s="7" t="n">
        <v>0.36</v>
      </c>
    </row>
    <row r="3">
      <c r="A3" s="6" t="n">
        <v>46150</v>
      </c>
      <c r="B3" s="3" t="inlineStr">
        <is>
          <t>BRENT</t>
        </is>
      </c>
      <c r="C3" s="3" t="inlineStr">
        <is>
          <t>M2_M3</t>
        </is>
      </c>
      <c r="D3" s="3" t="inlineStr">
        <is>
          <t>BRTN26</t>
        </is>
      </c>
      <c r="E3" s="3" t="inlineStr">
        <is>
          <t>BRTQ26</t>
        </is>
      </c>
      <c r="F3" s="7" t="n">
        <v>0.45</v>
      </c>
    </row>
    <row r="4">
      <c r="A4" s="6" t="n">
        <v>46150</v>
      </c>
      <c r="B4" s="3" t="inlineStr">
        <is>
          <t>WTI</t>
        </is>
      </c>
      <c r="C4" s="3" t="inlineStr">
        <is>
          <t>M1_M2</t>
        </is>
      </c>
      <c r="D4" s="3" t="inlineStr">
        <is>
          <t>WTIM26</t>
        </is>
      </c>
      <c r="E4" s="3" t="inlineStr">
        <is>
          <t>WTIN26</t>
        </is>
      </c>
      <c r="F4" s="7" t="n">
        <v>0.37</v>
      </c>
    </row>
    <row r="5">
      <c r="A5" s="6" t="n">
        <v>46150</v>
      </c>
      <c r="B5" s="3" t="inlineStr">
        <is>
          <t>WTI</t>
        </is>
      </c>
      <c r="C5" s="3" t="inlineStr">
        <is>
          <t>M2_M3</t>
        </is>
      </c>
      <c r="D5" s="3" t="inlineStr">
        <is>
          <t>WTIN26</t>
        </is>
      </c>
      <c r="E5" s="3" t="inlineStr">
        <is>
          <t>WTIQ26</t>
        </is>
      </c>
      <c r="F5" s="7" t="n">
        <v>0.46</v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5" customWidth="1" min="5" max="5"/>
    <col width="16" customWidth="1" min="6" max="6"/>
    <col width="12" customWidth="1" min="7" max="7"/>
    <col width="12" customWidth="1" min="8" max="8"/>
    <col width="15" customWidth="1" min="9" max="9"/>
    <col width="13" customWidth="1" min="10" max="10"/>
    <col width="21" customWidth="1" min="11" max="11"/>
  </cols>
  <sheetData>
    <row r="1">
      <c r="A1" s="5" t="inlineStr">
        <is>
          <t>position_id</t>
        </is>
      </c>
      <c r="B1" s="5" t="inlineStr">
        <is>
          <t>trade_date</t>
        </is>
      </c>
      <c r="C1" s="5" t="inlineStr">
        <is>
          <t>book</t>
        </is>
      </c>
      <c r="D1" s="5" t="inlineStr">
        <is>
          <t>commodity</t>
        </is>
      </c>
      <c r="E1" s="5" t="inlineStr">
        <is>
          <t>contract_code</t>
        </is>
      </c>
      <c r="F1" s="5" t="inlineStr">
        <is>
          <t>contract_month</t>
        </is>
      </c>
      <c r="G1" s="5" t="inlineStr">
        <is>
          <t>direction</t>
        </is>
      </c>
      <c r="H1" s="5" t="inlineStr">
        <is>
          <t>lots</t>
        </is>
      </c>
      <c r="I1" s="5" t="inlineStr">
        <is>
          <t>contract_size</t>
        </is>
      </c>
      <c r="J1" s="5" t="inlineStr">
        <is>
          <t>entry_price</t>
        </is>
      </c>
      <c r="K1" s="5" t="inlineStr">
        <is>
          <t>signed_exposure_bbl</t>
        </is>
      </c>
    </row>
    <row r="2">
      <c r="A2" s="3" t="inlineStr">
        <is>
          <t>FUT-0001</t>
        </is>
      </c>
      <c r="B2" s="6" t="n">
        <v>46149</v>
      </c>
      <c r="C2" s="3" t="inlineStr">
        <is>
          <t>Crude Alpha</t>
        </is>
      </c>
      <c r="D2" s="3" t="inlineStr">
        <is>
          <t>BRENT</t>
        </is>
      </c>
      <c r="E2" s="3" t="inlineStr">
        <is>
          <t>BRTM26</t>
        </is>
      </c>
      <c r="F2" s="3" t="inlineStr">
        <is>
          <t>2026-06</t>
        </is>
      </c>
      <c r="G2" s="3" t="inlineStr">
        <is>
          <t>BUY</t>
        </is>
      </c>
      <c r="H2" s="8" t="n">
        <v>12</v>
      </c>
      <c r="I2" s="9" t="n">
        <v>1000</v>
      </c>
      <c r="J2" s="7" t="n">
        <v>84.09999999999999</v>
      </c>
      <c r="K2" s="9" t="n">
        <v>12000</v>
      </c>
    </row>
    <row r="3">
      <c r="A3" s="3" t="inlineStr">
        <is>
          <t>FUT-0002</t>
        </is>
      </c>
      <c r="B3" s="6" t="n">
        <v>46149</v>
      </c>
      <c r="C3" s="3" t="inlineStr">
        <is>
          <t>Crude Alpha</t>
        </is>
      </c>
      <c r="D3" s="3" t="inlineStr">
        <is>
          <t>BRENT</t>
        </is>
      </c>
      <c r="E3" s="3" t="inlineStr">
        <is>
          <t>BRTM26</t>
        </is>
      </c>
      <c r="F3" s="3" t="inlineStr">
        <is>
          <t>2026-06</t>
        </is>
      </c>
      <c r="G3" s="3" t="inlineStr">
        <is>
          <t>SELL</t>
        </is>
      </c>
      <c r="H3" s="8" t="n">
        <v>5</v>
      </c>
      <c r="I3" s="9" t="n">
        <v>1000</v>
      </c>
      <c r="J3" s="7" t="n">
        <v>84.22</v>
      </c>
      <c r="K3" s="9" t="n">
        <v>-5000</v>
      </c>
    </row>
    <row r="4">
      <c r="A4" s="3" t="inlineStr">
        <is>
          <t>FUT-0003</t>
        </is>
      </c>
      <c r="B4" s="6" t="n">
        <v>46149</v>
      </c>
      <c r="C4" s="3" t="inlineStr">
        <is>
          <t>Crude Alpha</t>
        </is>
      </c>
      <c r="D4" s="3" t="inlineStr">
        <is>
          <t>BRENT</t>
        </is>
      </c>
      <c r="E4" s="3" t="inlineStr">
        <is>
          <t>BRTN26</t>
        </is>
      </c>
      <c r="F4" s="3" t="inlineStr">
        <is>
          <t>2026-07</t>
        </is>
      </c>
      <c r="G4" s="3" t="inlineStr">
        <is>
          <t>SELL</t>
        </is>
      </c>
      <c r="H4" s="8" t="n">
        <v>3</v>
      </c>
      <c r="I4" s="9" t="n">
        <v>1000</v>
      </c>
      <c r="J4" s="7" t="n">
        <v>83.95</v>
      </c>
      <c r="K4" s="9" t="n">
        <v>-3000</v>
      </c>
    </row>
    <row r="5">
      <c r="A5" s="3" t="inlineStr">
        <is>
          <t>FUT-0004</t>
        </is>
      </c>
      <c r="B5" s="6" t="n">
        <v>46149</v>
      </c>
      <c r="C5" s="3" t="inlineStr">
        <is>
          <t>Crude Beta</t>
        </is>
      </c>
      <c r="D5" s="3" t="inlineStr">
        <is>
          <t>WTI</t>
        </is>
      </c>
      <c r="E5" s="3" t="inlineStr">
        <is>
          <t>WTIM26</t>
        </is>
      </c>
      <c r="F5" s="3" t="inlineStr">
        <is>
          <t>2026-06</t>
        </is>
      </c>
      <c r="G5" s="3" t="inlineStr">
        <is>
          <t>BUY</t>
        </is>
      </c>
      <c r="H5" s="8" t="n">
        <v>8</v>
      </c>
      <c r="I5" s="9" t="n">
        <v>1000</v>
      </c>
      <c r="J5" s="7" t="n">
        <v>79.34999999999999</v>
      </c>
      <c r="K5" s="9" t="n">
        <v>8000</v>
      </c>
    </row>
    <row r="6">
      <c r="A6" s="3" t="inlineStr">
        <is>
          <t>FUT-0005</t>
        </is>
      </c>
      <c r="B6" s="6" t="n">
        <v>46149</v>
      </c>
      <c r="C6" s="3" t="inlineStr">
        <is>
          <t>Crude Beta</t>
        </is>
      </c>
      <c r="D6" s="3" t="inlineStr">
        <is>
          <t>WTI</t>
        </is>
      </c>
      <c r="E6" s="3" t="inlineStr">
        <is>
          <t>WTIM26</t>
        </is>
      </c>
      <c r="F6" s="3" t="inlineStr">
        <is>
          <t>2026-06</t>
        </is>
      </c>
      <c r="G6" s="3" t="inlineStr">
        <is>
          <t>SELL</t>
        </is>
      </c>
      <c r="H6" s="8" t="n">
        <v>10</v>
      </c>
      <c r="I6" s="9" t="n">
        <v>1000</v>
      </c>
      <c r="J6" s="7" t="n">
        <v>79.42</v>
      </c>
      <c r="K6" s="9" t="n">
        <v>-10000</v>
      </c>
    </row>
    <row r="7">
      <c r="A7" s="3" t="inlineStr">
        <is>
          <t>FUT-0006</t>
        </is>
      </c>
      <c r="B7" s="6" t="n">
        <v>46149</v>
      </c>
      <c r="C7" s="3" t="inlineStr">
        <is>
          <t>Crude Beta</t>
        </is>
      </c>
      <c r="D7" s="3" t="inlineStr">
        <is>
          <t>WTI</t>
        </is>
      </c>
      <c r="E7" s="3" t="inlineStr">
        <is>
          <t>WTIN26</t>
        </is>
      </c>
      <c r="F7" s="3" t="inlineStr">
        <is>
          <t>2026-07</t>
        </is>
      </c>
      <c r="G7" s="3" t="inlineStr">
        <is>
          <t>BUY</t>
        </is>
      </c>
      <c r="H7" s="8" t="n">
        <v>4</v>
      </c>
      <c r="I7" s="9" t="n">
        <v>1000</v>
      </c>
      <c r="J7" s="7" t="n">
        <v>79.05</v>
      </c>
      <c r="K7" s="9" t="n">
        <v>4000</v>
      </c>
    </row>
  </sheetData>
  <autoFilter ref="A1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6" customWidth="1" min="9" max="9"/>
    <col width="14" customWidth="1" min="10" max="10"/>
    <col width="12" customWidth="1" min="11" max="11"/>
    <col width="13" customWidth="1" min="12" max="12"/>
    <col width="14" customWidth="1" min="13" max="13"/>
    <col width="22" customWidth="1" min="14" max="14"/>
    <col width="22" customWidth="1" min="15" max="15"/>
    <col width="30" customWidth="1" min="16" max="16"/>
  </cols>
  <sheetData>
    <row r="1">
      <c r="A1" s="5" t="inlineStr">
        <is>
          <t>cargo_id</t>
        </is>
      </c>
      <c r="B1" s="5" t="inlineStr">
        <is>
          <t>trade_date</t>
        </is>
      </c>
      <c r="C1" s="5" t="inlineStr">
        <is>
          <t>book</t>
        </is>
      </c>
      <c r="D1" s="5" t="inlineStr">
        <is>
          <t>commodity</t>
        </is>
      </c>
      <c r="E1" s="5" t="inlineStr">
        <is>
          <t>buy_sell</t>
        </is>
      </c>
      <c r="F1" s="5" t="inlineStr">
        <is>
          <t>volume_bbl</t>
        </is>
      </c>
      <c r="G1" s="5" t="inlineStr">
        <is>
          <t>pricing_index</t>
        </is>
      </c>
      <c r="H1" s="5" t="inlineStr">
        <is>
          <t>pricing_month</t>
        </is>
      </c>
      <c r="I1" s="5" t="inlineStr">
        <is>
          <t>delivery_start</t>
        </is>
      </c>
      <c r="J1" s="5" t="inlineStr">
        <is>
          <t>delivery_end</t>
        </is>
      </c>
      <c r="K1" s="5" t="inlineStr">
        <is>
          <t>location</t>
        </is>
      </c>
      <c r="L1" s="5" t="inlineStr">
        <is>
          <t>fixed_price</t>
        </is>
      </c>
      <c r="M1" s="5" t="inlineStr">
        <is>
          <t>differential</t>
        </is>
      </c>
      <c r="N1" s="5" t="inlineStr">
        <is>
          <t>freight_cost_per_bbl</t>
        </is>
      </c>
      <c r="O1" s="5" t="inlineStr">
        <is>
          <t>storage_cost_per_bbl</t>
        </is>
      </c>
      <c r="P1" s="5" t="inlineStr">
        <is>
          <t>signed_physical_exposure_bbl</t>
        </is>
      </c>
    </row>
    <row r="2">
      <c r="A2" s="3" t="inlineStr">
        <is>
          <t>CARGO-0001</t>
        </is>
      </c>
      <c r="B2" s="6" t="n">
        <v>46145</v>
      </c>
      <c r="C2" s="3" t="inlineStr">
        <is>
          <t>Physical Atlantic</t>
        </is>
      </c>
      <c r="D2" s="3" t="inlineStr">
        <is>
          <t>BRENT</t>
        </is>
      </c>
      <c r="E2" s="3" t="inlineStr">
        <is>
          <t>BUY</t>
        </is>
      </c>
      <c r="F2" s="9" t="n">
        <v>600000</v>
      </c>
      <c r="G2" s="3" t="inlineStr">
        <is>
          <t>BRENT</t>
        </is>
      </c>
      <c r="H2" s="3" t="inlineStr">
        <is>
          <t>2026-06</t>
        </is>
      </c>
      <c r="I2" s="6" t="n">
        <v>46178</v>
      </c>
      <c r="J2" s="6" t="n">
        <v>46181</v>
      </c>
      <c r="K2" s="3" t="inlineStr">
        <is>
          <t>Rotterdam</t>
        </is>
      </c>
      <c r="L2" s="7" t="n"/>
      <c r="M2" s="7" t="n">
        <v>0.35</v>
      </c>
      <c r="N2" s="7" t="n"/>
      <c r="O2" s="7" t="n">
        <v>0</v>
      </c>
      <c r="P2" s="9" t="n">
        <v>600000</v>
      </c>
    </row>
    <row r="3">
      <c r="A3" s="3" t="inlineStr">
        <is>
          <t>CARGO-0002</t>
        </is>
      </c>
      <c r="B3" s="6" t="n">
        <v>46146</v>
      </c>
      <c r="C3" s="3" t="inlineStr">
        <is>
          <t>Physical Atlantic</t>
        </is>
      </c>
      <c r="D3" s="3" t="inlineStr">
        <is>
          <t>BRENT</t>
        </is>
      </c>
      <c r="E3" s="3" t="inlineStr">
        <is>
          <t>SELL</t>
        </is>
      </c>
      <c r="F3" s="9" t="n">
        <v>250000</v>
      </c>
      <c r="G3" s="3" t="inlineStr">
        <is>
          <t>BRENT</t>
        </is>
      </c>
      <c r="H3" s="3" t="inlineStr">
        <is>
          <t>2026-06</t>
        </is>
      </c>
      <c r="I3" s="6" t="n">
        <v>46185</v>
      </c>
      <c r="J3" s="6" t="n">
        <v>46188</v>
      </c>
      <c r="K3" s="3" t="inlineStr">
        <is>
          <t>Rotterdam</t>
        </is>
      </c>
      <c r="L3" s="7" t="n">
        <v>84.5</v>
      </c>
      <c r="M3" s="7" t="n">
        <v>-0.2</v>
      </c>
      <c r="N3" s="7" t="n">
        <v>0.15</v>
      </c>
      <c r="O3" s="7" t="n"/>
      <c r="P3" s="9" t="n">
        <v>-250000</v>
      </c>
    </row>
    <row r="4">
      <c r="A4" s="3" t="inlineStr">
        <is>
          <t>CARGO-0003</t>
        </is>
      </c>
      <c r="B4" s="6" t="n">
        <v>46147</v>
      </c>
      <c r="C4" s="3" t="inlineStr">
        <is>
          <t>Physical Atlantic</t>
        </is>
      </c>
      <c r="D4" s="3" t="inlineStr">
        <is>
          <t>BRENT</t>
        </is>
      </c>
      <c r="E4" s="3" t="inlineStr">
        <is>
          <t>SELL</t>
        </is>
      </c>
      <c r="F4" s="9" t="n">
        <v>100000</v>
      </c>
      <c r="G4" s="3" t="inlineStr">
        <is>
          <t>BRENT</t>
        </is>
      </c>
      <c r="H4" s="3" t="inlineStr">
        <is>
          <t>2026-06</t>
        </is>
      </c>
      <c r="I4" s="6" t="n">
        <v>46191</v>
      </c>
      <c r="J4" s="6" t="n">
        <v>46193</v>
      </c>
      <c r="K4" s="3" t="inlineStr">
        <is>
          <t>Antwerp</t>
        </is>
      </c>
      <c r="L4" s="7" t="n"/>
      <c r="M4" s="7" t="n">
        <v>0</v>
      </c>
      <c r="N4" s="7" t="n">
        <v>0</v>
      </c>
      <c r="O4" s="7" t="n">
        <v>0</v>
      </c>
      <c r="P4" s="9" t="n">
        <v>-100000</v>
      </c>
    </row>
    <row r="5">
      <c r="A5" s="3" t="inlineStr">
        <is>
          <t>CARGO-0004</t>
        </is>
      </c>
      <c r="B5" s="6" t="n">
        <v>46147</v>
      </c>
      <c r="C5" s="3" t="inlineStr">
        <is>
          <t>Physical Gulf</t>
        </is>
      </c>
      <c r="D5" s="3" t="inlineStr">
        <is>
          <t>WTI</t>
        </is>
      </c>
      <c r="E5" s="3" t="inlineStr">
        <is>
          <t>BUY</t>
        </is>
      </c>
      <c r="F5" s="9" t="n">
        <v>450000</v>
      </c>
      <c r="G5" s="3" t="inlineStr">
        <is>
          <t>WTI</t>
        </is>
      </c>
      <c r="H5" s="3" t="inlineStr">
        <is>
          <t>2026-07</t>
        </is>
      </c>
      <c r="I5" s="6" t="n">
        <v>46206</v>
      </c>
      <c r="J5" s="6" t="n">
        <v>46209</v>
      </c>
      <c r="K5" s="3" t="inlineStr">
        <is>
          <t>Houston</t>
        </is>
      </c>
      <c r="L5" s="7" t="n">
        <v>79.25</v>
      </c>
      <c r="M5" s="7" t="n">
        <v>-0.1</v>
      </c>
      <c r="N5" s="7" t="n">
        <v>0.08</v>
      </c>
      <c r="O5" s="7" t="n">
        <v>0.02</v>
      </c>
      <c r="P5" s="9" t="n">
        <v>450000</v>
      </c>
    </row>
    <row r="6">
      <c r="A6" s="3" t="inlineStr">
        <is>
          <t>CARGO-0005</t>
        </is>
      </c>
      <c r="B6" s="6" t="n">
        <v>46148</v>
      </c>
      <c r="C6" s="3" t="inlineStr">
        <is>
          <t>Physical Gulf</t>
        </is>
      </c>
      <c r="D6" s="3" t="inlineStr">
        <is>
          <t>WTI</t>
        </is>
      </c>
      <c r="E6" s="3" t="inlineStr">
        <is>
          <t>SELL</t>
        </is>
      </c>
      <c r="F6" s="9" t="n">
        <v>300000</v>
      </c>
      <c r="G6" s="3" t="inlineStr">
        <is>
          <t>WTI</t>
        </is>
      </c>
      <c r="H6" s="3" t="inlineStr">
        <is>
          <t>2026-07</t>
        </is>
      </c>
      <c r="I6" s="6" t="n">
        <v>46217</v>
      </c>
      <c r="J6" s="6" t="n">
        <v>46221</v>
      </c>
      <c r="K6" s="3" t="inlineStr">
        <is>
          <t>Houston</t>
        </is>
      </c>
      <c r="L6" s="7" t="n"/>
      <c r="M6" s="7" t="n">
        <v>0.05</v>
      </c>
      <c r="N6" s="7" t="n"/>
      <c r="O6" s="7" t="n">
        <v>0</v>
      </c>
      <c r="P6" s="9" t="n">
        <v>-300000</v>
      </c>
    </row>
  </sheetData>
  <autoFilter ref="A1:P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23" customWidth="1" min="4" max="4"/>
    <col width="20" customWidth="1" min="5" max="5"/>
    <col width="18" customWidth="1" min="6" max="6"/>
    <col width="27" customWidth="1" min="7" max="7"/>
    <col width="30" customWidth="1" min="8" max="8"/>
    <col width="35" customWidth="1" min="9" max="9"/>
  </cols>
  <sheetData>
    <row r="1">
      <c r="A1" s="5" t="inlineStr">
        <is>
          <t>hedge_index</t>
        </is>
      </c>
      <c r="B1" s="5" t="inlineStr">
        <is>
          <t>exposure_month</t>
        </is>
      </c>
      <c r="C1" s="5" t="inlineStr">
        <is>
          <t>book</t>
        </is>
      </c>
      <c r="D1" s="5" t="inlineStr">
        <is>
          <t>physical_exposure_bbl</t>
        </is>
      </c>
      <c r="E1" s="5" t="inlineStr">
        <is>
          <t>paper_exposure_bbl</t>
        </is>
      </c>
      <c r="F1" s="5" t="inlineStr">
        <is>
          <t>net_exposure_bbl</t>
        </is>
      </c>
      <c r="G1" s="5" t="inlineStr">
        <is>
          <t>absolute_net_exposure_bbl</t>
        </is>
      </c>
      <c r="H1" s="5" t="inlineStr">
        <is>
          <t>gross_component_exposure_bbl</t>
        </is>
      </c>
      <c r="I1" s="5" t="inlineStr">
        <is>
          <t>label</t>
        </is>
      </c>
    </row>
    <row r="2">
      <c r="A2" s="3" t="inlineStr">
        <is>
          <t>BRENT</t>
        </is>
      </c>
      <c r="B2" s="3" t="inlineStr">
        <is>
          <t>2026-06</t>
        </is>
      </c>
      <c r="C2" s="3" t="inlineStr">
        <is>
          <t>Crude Alpha</t>
        </is>
      </c>
      <c r="D2" s="9" t="n">
        <v>0</v>
      </c>
      <c r="E2" s="9" t="n">
        <v>7000</v>
      </c>
      <c r="F2" s="9" t="n">
        <v>7000</v>
      </c>
      <c r="G2" s="9" t="n">
        <v>7000</v>
      </c>
      <c r="H2" s="9" t="n">
        <v>7000</v>
      </c>
      <c r="I2" s="3" t="inlineStr">
        <is>
          <t>BRENT 2026-06 / Crude Alpha</t>
        </is>
      </c>
    </row>
    <row r="3">
      <c r="A3" s="3" t="inlineStr">
        <is>
          <t>BRENT</t>
        </is>
      </c>
      <c r="B3" s="3" t="inlineStr">
        <is>
          <t>2026-06</t>
        </is>
      </c>
      <c r="C3" s="3" t="inlineStr">
        <is>
          <t>Physical Atlantic</t>
        </is>
      </c>
      <c r="D3" s="9" t="n">
        <v>250000</v>
      </c>
      <c r="E3" s="9" t="n">
        <v>0</v>
      </c>
      <c r="F3" s="9" t="n">
        <v>250000</v>
      </c>
      <c r="G3" s="9" t="n">
        <v>250000</v>
      </c>
      <c r="H3" s="9" t="n">
        <v>250000</v>
      </c>
      <c r="I3" s="3" t="inlineStr">
        <is>
          <t>BRENT 2026-06 / Physical Atlantic</t>
        </is>
      </c>
    </row>
    <row r="4">
      <c r="A4" s="3" t="inlineStr">
        <is>
          <t>BRENT</t>
        </is>
      </c>
      <c r="B4" s="3" t="inlineStr">
        <is>
          <t>2026-07</t>
        </is>
      </c>
      <c r="C4" s="3" t="inlineStr">
        <is>
          <t>Crude Alpha</t>
        </is>
      </c>
      <c r="D4" s="9" t="n">
        <v>0</v>
      </c>
      <c r="E4" s="9" t="n">
        <v>-3000</v>
      </c>
      <c r="F4" s="9" t="n">
        <v>-3000</v>
      </c>
      <c r="G4" s="9" t="n">
        <v>3000</v>
      </c>
      <c r="H4" s="9" t="n">
        <v>3000</v>
      </c>
      <c r="I4" s="3" t="inlineStr">
        <is>
          <t>BRENT 2026-07 / Crude Alpha</t>
        </is>
      </c>
    </row>
    <row r="5">
      <c r="A5" s="3" t="inlineStr">
        <is>
          <t>WTI</t>
        </is>
      </c>
      <c r="B5" s="3" t="inlineStr">
        <is>
          <t>2026-06</t>
        </is>
      </c>
      <c r="C5" s="3" t="inlineStr">
        <is>
          <t>Crude Beta</t>
        </is>
      </c>
      <c r="D5" s="9" t="n">
        <v>0</v>
      </c>
      <c r="E5" s="9" t="n">
        <v>-2000</v>
      </c>
      <c r="F5" s="9" t="n">
        <v>-2000</v>
      </c>
      <c r="G5" s="9" t="n">
        <v>2000</v>
      </c>
      <c r="H5" s="9" t="n">
        <v>2000</v>
      </c>
      <c r="I5" s="3" t="inlineStr">
        <is>
          <t>WTI 2026-06 / Crude Beta</t>
        </is>
      </c>
    </row>
    <row r="6">
      <c r="A6" s="3" t="inlineStr">
        <is>
          <t>WTI</t>
        </is>
      </c>
      <c r="B6" s="3" t="inlineStr">
        <is>
          <t>2026-07</t>
        </is>
      </c>
      <c r="C6" s="3" t="inlineStr">
        <is>
          <t>Crude Beta</t>
        </is>
      </c>
      <c r="D6" s="9" t="n">
        <v>0</v>
      </c>
      <c r="E6" s="9" t="n">
        <v>4000</v>
      </c>
      <c r="F6" s="9" t="n">
        <v>4000</v>
      </c>
      <c r="G6" s="9" t="n">
        <v>4000</v>
      </c>
      <c r="H6" s="9" t="n">
        <v>4000</v>
      </c>
      <c r="I6" s="3" t="inlineStr">
        <is>
          <t>WTI 2026-07 / Crude Beta</t>
        </is>
      </c>
    </row>
    <row r="7">
      <c r="A7" s="3" t="inlineStr">
        <is>
          <t>WTI</t>
        </is>
      </c>
      <c r="B7" s="3" t="inlineStr">
        <is>
          <t>2026-07</t>
        </is>
      </c>
      <c r="C7" s="3" t="inlineStr">
        <is>
          <t>Physical Gulf</t>
        </is>
      </c>
      <c r="D7" s="9" t="n">
        <v>150000</v>
      </c>
      <c r="E7" s="9" t="n">
        <v>0</v>
      </c>
      <c r="F7" s="9" t="n">
        <v>150000</v>
      </c>
      <c r="G7" s="9" t="n">
        <v>150000</v>
      </c>
      <c r="H7" s="9" t="n">
        <v>150000</v>
      </c>
      <c r="I7" s="3" t="inlineStr">
        <is>
          <t>WTI 2026-07 / Physical Gulf</t>
        </is>
      </c>
    </row>
  </sheetData>
  <autoFilter ref="A1:I7"/>
  <conditionalFormatting sqref="F2:F7">
    <cfRule type="cellIs" priority="1" operator="greaterThan" dxfId="0">
      <formula>0</formula>
    </cfRule>
    <cfRule type="cellIs" priority="2" operator="lessThan" dxfId="0">
      <formula>0</formula>
    </cfRule>
  </conditionalFormatting>
  <conditionalFormatting sqref="G2:G7">
    <cfRule type="cellIs" priority="3" operator="greaterThan" dxfId="0">
      <formula>0</formula>
    </cfRule>
    <cfRule type="cellIs" priority="4" operator="less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26" customWidth="1" min="4" max="4"/>
    <col width="30" customWidth="1" min="5" max="5"/>
    <col width="29" customWidth="1" min="6" max="6"/>
    <col width="23" customWidth="1" min="7" max="7"/>
    <col width="24" customWidth="1" min="8" max="8"/>
    <col width="26" customWidth="1" min="9" max="9"/>
    <col width="28" customWidth="1" min="10" max="10"/>
    <col width="29" customWidth="1" min="11" max="11"/>
    <col width="35" customWidth="1" min="12" max="12"/>
    <col width="42" customWidth="1" min="13" max="13"/>
  </cols>
  <sheetData>
    <row r="1">
      <c r="A1" s="5" t="inlineStr">
        <is>
          <t>hedge_index</t>
        </is>
      </c>
      <c r="B1" s="5" t="inlineStr">
        <is>
          <t>exposure_month</t>
        </is>
      </c>
      <c r="C1" s="5" t="inlineStr">
        <is>
          <t>book</t>
        </is>
      </c>
      <c r="D1" s="5" t="inlineStr">
        <is>
          <t>current_net_exposure_bbl</t>
        </is>
      </c>
      <c r="E1" s="5" t="inlineStr">
        <is>
          <t>target_residual_exposure_bbl</t>
        </is>
      </c>
      <c r="F1" s="5" t="inlineStr">
        <is>
          <t>required_hedge_exposure_bbl</t>
        </is>
      </c>
      <c r="G1" s="5" t="inlineStr">
        <is>
          <t>recommended_direction</t>
        </is>
      </c>
      <c r="H1" s="5" t="inlineStr">
        <is>
          <t>recommended_lots_exact</t>
        </is>
      </c>
      <c r="I1" s="5" t="inlineStr">
        <is>
          <t>recommended_lots_rounded</t>
        </is>
      </c>
      <c r="J1" s="5" t="inlineStr">
        <is>
          <t>rounded_hedge_exposure_bbl</t>
        </is>
      </c>
      <c r="K1" s="5" t="inlineStr">
        <is>
          <t>post_hedge_net_exposure_bbl</t>
        </is>
      </c>
      <c r="L1" s="5" t="inlineStr">
        <is>
          <t>residual_difference_vs_target_bbl</t>
        </is>
      </c>
      <c r="M1" s="5" t="inlineStr">
        <is>
          <t>recommendation_label</t>
        </is>
      </c>
    </row>
    <row r="2">
      <c r="A2" s="3" t="inlineStr">
        <is>
          <t>BRENT</t>
        </is>
      </c>
      <c r="B2" s="3" t="inlineStr">
        <is>
          <t>2026-06</t>
        </is>
      </c>
      <c r="C2" s="3" t="inlineStr">
        <is>
          <t>Crude Alpha</t>
        </is>
      </c>
      <c r="D2" s="9" t="n">
        <v>7000</v>
      </c>
      <c r="E2" s="9" t="n">
        <v>1400</v>
      </c>
      <c r="F2" s="9" t="n">
        <v>-5600</v>
      </c>
      <c r="G2" s="3" t="inlineStr">
        <is>
          <t>SELL</t>
        </is>
      </c>
      <c r="H2" s="8" t="n">
        <v>5.6</v>
      </c>
      <c r="I2" s="8" t="n">
        <v>6</v>
      </c>
      <c r="J2" s="9" t="n">
        <v>-6000</v>
      </c>
      <c r="K2" s="9" t="n">
        <v>1000</v>
      </c>
      <c r="L2" s="9" t="n">
        <v>-400</v>
      </c>
      <c r="M2" s="3" t="inlineStr">
        <is>
          <t>SELL 6 BRENT 2026-06 futures-equivalent lots for Crude Alpha</t>
        </is>
      </c>
    </row>
    <row r="3">
      <c r="A3" s="3" t="inlineStr">
        <is>
          <t>BRENT</t>
        </is>
      </c>
      <c r="B3" s="3" t="inlineStr">
        <is>
          <t>2026-06</t>
        </is>
      </c>
      <c r="C3" s="3" t="inlineStr">
        <is>
          <t>Physical Atlantic</t>
        </is>
      </c>
      <c r="D3" s="9" t="n">
        <v>250000</v>
      </c>
      <c r="E3" s="9" t="n">
        <v>50000</v>
      </c>
      <c r="F3" s="9" t="n">
        <v>-200000</v>
      </c>
      <c r="G3" s="3" t="inlineStr">
        <is>
          <t>SELL</t>
        </is>
      </c>
      <c r="H3" s="8" t="n">
        <v>200</v>
      </c>
      <c r="I3" s="8" t="n">
        <v>200</v>
      </c>
      <c r="J3" s="9" t="n">
        <v>-200000</v>
      </c>
      <c r="K3" s="9" t="n">
        <v>50000</v>
      </c>
      <c r="L3" s="9" t="n">
        <v>0</v>
      </c>
      <c r="M3" s="3" t="inlineStr">
        <is>
          <t>SELL 200 BRENT 2026-06 futures-equivalent lots for Physical Atlantic</t>
        </is>
      </c>
    </row>
    <row r="4">
      <c r="A4" s="3" t="inlineStr">
        <is>
          <t>BRENT</t>
        </is>
      </c>
      <c r="B4" s="3" t="inlineStr">
        <is>
          <t>2026-07</t>
        </is>
      </c>
      <c r="C4" s="3" t="inlineStr">
        <is>
          <t>Crude Alpha</t>
        </is>
      </c>
      <c r="D4" s="9" t="n">
        <v>-3000</v>
      </c>
      <c r="E4" s="9" t="n">
        <v>-600</v>
      </c>
      <c r="F4" s="9" t="n">
        <v>2400</v>
      </c>
      <c r="G4" s="3" t="inlineStr">
        <is>
          <t>BUY</t>
        </is>
      </c>
      <c r="H4" s="8" t="n">
        <v>2.4</v>
      </c>
      <c r="I4" s="8" t="n">
        <v>2</v>
      </c>
      <c r="J4" s="9" t="n">
        <v>2000</v>
      </c>
      <c r="K4" s="9" t="n">
        <v>-1000</v>
      </c>
      <c r="L4" s="9" t="n">
        <v>-400</v>
      </c>
      <c r="M4" s="3" t="inlineStr">
        <is>
          <t>BUY 2 BRENT 2026-07 futures-equivalent lots for Crude Alpha</t>
        </is>
      </c>
    </row>
    <row r="5">
      <c r="A5" s="3" t="inlineStr">
        <is>
          <t>WTI</t>
        </is>
      </c>
      <c r="B5" s="3" t="inlineStr">
        <is>
          <t>2026-06</t>
        </is>
      </c>
      <c r="C5" s="3" t="inlineStr">
        <is>
          <t>Crude Beta</t>
        </is>
      </c>
      <c r="D5" s="9" t="n">
        <v>-2000</v>
      </c>
      <c r="E5" s="9" t="n">
        <v>-400</v>
      </c>
      <c r="F5" s="9" t="n">
        <v>1600</v>
      </c>
      <c r="G5" s="3" t="inlineStr">
        <is>
          <t>BUY</t>
        </is>
      </c>
      <c r="H5" s="8" t="n">
        <v>1.6</v>
      </c>
      <c r="I5" s="8" t="n">
        <v>2</v>
      </c>
      <c r="J5" s="9" t="n">
        <v>2000</v>
      </c>
      <c r="K5" s="9" t="n">
        <v>0</v>
      </c>
      <c r="L5" s="9" t="n">
        <v>400</v>
      </c>
      <c r="M5" s="3" t="inlineStr">
        <is>
          <t>BUY 2 WTI 2026-06 futures-equivalent lots for Crude Beta</t>
        </is>
      </c>
    </row>
    <row r="6">
      <c r="A6" s="3" t="inlineStr">
        <is>
          <t>WTI</t>
        </is>
      </c>
      <c r="B6" s="3" t="inlineStr">
        <is>
          <t>2026-07</t>
        </is>
      </c>
      <c r="C6" s="3" t="inlineStr">
        <is>
          <t>Crude Beta</t>
        </is>
      </c>
      <c r="D6" s="9" t="n">
        <v>4000</v>
      </c>
      <c r="E6" s="9" t="n">
        <v>800</v>
      </c>
      <c r="F6" s="9" t="n">
        <v>-3200</v>
      </c>
      <c r="G6" s="3" t="inlineStr">
        <is>
          <t>SELL</t>
        </is>
      </c>
      <c r="H6" s="8" t="n">
        <v>3.2</v>
      </c>
      <c r="I6" s="8" t="n">
        <v>3</v>
      </c>
      <c r="J6" s="9" t="n">
        <v>-3000</v>
      </c>
      <c r="K6" s="9" t="n">
        <v>1000</v>
      </c>
      <c r="L6" s="9" t="n">
        <v>200</v>
      </c>
      <c r="M6" s="3" t="inlineStr">
        <is>
          <t>SELL 3 WTI 2026-07 futures-equivalent lots for Crude Beta</t>
        </is>
      </c>
    </row>
    <row r="7">
      <c r="A7" s="3" t="inlineStr">
        <is>
          <t>WTI</t>
        </is>
      </c>
      <c r="B7" s="3" t="inlineStr">
        <is>
          <t>2026-07</t>
        </is>
      </c>
      <c r="C7" s="3" t="inlineStr">
        <is>
          <t>Physical Gulf</t>
        </is>
      </c>
      <c r="D7" s="9" t="n">
        <v>150000</v>
      </c>
      <c r="E7" s="9" t="n">
        <v>30000</v>
      </c>
      <c r="F7" s="9" t="n">
        <v>-120000</v>
      </c>
      <c r="G7" s="3" t="inlineStr">
        <is>
          <t>SELL</t>
        </is>
      </c>
      <c r="H7" s="8" t="n">
        <v>120</v>
      </c>
      <c r="I7" s="8" t="n">
        <v>120</v>
      </c>
      <c r="J7" s="9" t="n">
        <v>-120000</v>
      </c>
      <c r="K7" s="9" t="n">
        <v>30000</v>
      </c>
      <c r="L7" s="9" t="n">
        <v>0</v>
      </c>
      <c r="M7" s="3" t="inlineStr">
        <is>
          <t>SELL 120 WTI 2026-07 futures-equivalent lots for Physical Gulf</t>
        </is>
      </c>
    </row>
  </sheetData>
  <autoFilter ref="A1:M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6" customWidth="1" min="3" max="3"/>
    <col width="19" customWidth="1" min="4" max="4"/>
    <col width="18" customWidth="1" min="5" max="5"/>
    <col width="25" customWidth="1" min="6" max="6"/>
    <col width="16" customWidth="1" min="7" max="7"/>
    <col width="15" customWidth="1" min="8" max="8"/>
    <col width="35" customWidth="1" min="9" max="9"/>
  </cols>
  <sheetData>
    <row r="1">
      <c r="A1" s="5" t="inlineStr">
        <is>
          <t>scenario_name</t>
        </is>
      </c>
      <c r="B1" s="5" t="inlineStr">
        <is>
          <t>hedge_index</t>
        </is>
      </c>
      <c r="C1" s="5" t="inlineStr">
        <is>
          <t>exposure_month</t>
        </is>
      </c>
      <c r="D1" s="5" t="inlineStr">
        <is>
          <t>book</t>
        </is>
      </c>
      <c r="E1" s="5" t="inlineStr">
        <is>
          <t>net_exposure_bbl</t>
        </is>
      </c>
      <c r="F1" s="5" t="inlineStr">
        <is>
          <t>price_delta_usd_per_bbl</t>
        </is>
      </c>
      <c r="G1" s="5" t="inlineStr">
        <is>
          <t>stress_pnl_usd</t>
        </is>
      </c>
      <c r="H1" s="5" t="inlineStr">
        <is>
          <t>pnl_direction</t>
        </is>
      </c>
      <c r="I1" s="5" t="inlineStr">
        <is>
          <t>label</t>
        </is>
      </c>
    </row>
    <row r="2">
      <c r="A2" s="3" t="inlineStr">
        <is>
          <t>PARALLEL_DOWN_5</t>
        </is>
      </c>
      <c r="B2" s="3" t="inlineStr">
        <is>
          <t>BRENT</t>
        </is>
      </c>
      <c r="C2" s="3" t="inlineStr">
        <is>
          <t>2026-06</t>
        </is>
      </c>
      <c r="D2" s="3" t="inlineStr">
        <is>
          <t>Crude Alpha</t>
        </is>
      </c>
      <c r="E2" s="9" t="n">
        <v>7000</v>
      </c>
      <c r="F2" s="7" t="n">
        <v>-5</v>
      </c>
      <c r="G2" s="10" t="n">
        <v>-35000</v>
      </c>
      <c r="H2" s="3" t="inlineStr">
        <is>
          <t>LOSS</t>
        </is>
      </c>
      <c r="I2" s="3" t="inlineStr">
        <is>
          <t>BRENT 2026-06 / Crude Alpha</t>
        </is>
      </c>
    </row>
    <row r="3">
      <c r="A3" s="3" t="inlineStr">
        <is>
          <t>PARALLEL_DOWN_5</t>
        </is>
      </c>
      <c r="B3" s="3" t="inlineStr">
        <is>
          <t>BRENT</t>
        </is>
      </c>
      <c r="C3" s="3" t="inlineStr">
        <is>
          <t>2026-06</t>
        </is>
      </c>
      <c r="D3" s="3" t="inlineStr">
        <is>
          <t>Physical Atlantic</t>
        </is>
      </c>
      <c r="E3" s="9" t="n">
        <v>250000</v>
      </c>
      <c r="F3" s="7" t="n">
        <v>-5</v>
      </c>
      <c r="G3" s="10" t="n">
        <v>-1250000</v>
      </c>
      <c r="H3" s="3" t="inlineStr">
        <is>
          <t>LOSS</t>
        </is>
      </c>
      <c r="I3" s="3" t="inlineStr">
        <is>
          <t>BRENT 2026-06 / Physical Atlantic</t>
        </is>
      </c>
    </row>
    <row r="4">
      <c r="A4" s="3" t="inlineStr">
        <is>
          <t>PARALLEL_DOWN_5</t>
        </is>
      </c>
      <c r="B4" s="3" t="inlineStr">
        <is>
          <t>BRENT</t>
        </is>
      </c>
      <c r="C4" s="3" t="inlineStr">
        <is>
          <t>2026-07</t>
        </is>
      </c>
      <c r="D4" s="3" t="inlineStr">
        <is>
          <t>Crude Alpha</t>
        </is>
      </c>
      <c r="E4" s="9" t="n">
        <v>-3000</v>
      </c>
      <c r="F4" s="7" t="n">
        <v>-5</v>
      </c>
      <c r="G4" s="10" t="n">
        <v>15000</v>
      </c>
      <c r="H4" s="3" t="inlineStr">
        <is>
          <t>GAIN</t>
        </is>
      </c>
      <c r="I4" s="3" t="inlineStr">
        <is>
          <t>BRENT 2026-07 / Crude Alpha</t>
        </is>
      </c>
    </row>
    <row r="5">
      <c r="A5" s="3" t="inlineStr">
        <is>
          <t>PARALLEL_DOWN_5</t>
        </is>
      </c>
      <c r="B5" s="3" t="inlineStr">
        <is>
          <t>WTI</t>
        </is>
      </c>
      <c r="C5" s="3" t="inlineStr">
        <is>
          <t>2026-06</t>
        </is>
      </c>
      <c r="D5" s="3" t="inlineStr">
        <is>
          <t>Crude Beta</t>
        </is>
      </c>
      <c r="E5" s="9" t="n">
        <v>-2000</v>
      </c>
      <c r="F5" s="7" t="n">
        <v>-5</v>
      </c>
      <c r="G5" s="10" t="n">
        <v>10000</v>
      </c>
      <c r="H5" s="3" t="inlineStr">
        <is>
          <t>GAIN</t>
        </is>
      </c>
      <c r="I5" s="3" t="inlineStr">
        <is>
          <t>WTI 2026-06 / Crude Beta</t>
        </is>
      </c>
    </row>
    <row r="6">
      <c r="A6" s="3" t="inlineStr">
        <is>
          <t>PARALLEL_DOWN_5</t>
        </is>
      </c>
      <c r="B6" s="3" t="inlineStr">
        <is>
          <t>WTI</t>
        </is>
      </c>
      <c r="C6" s="3" t="inlineStr">
        <is>
          <t>2026-07</t>
        </is>
      </c>
      <c r="D6" s="3" t="inlineStr">
        <is>
          <t>Crude Beta</t>
        </is>
      </c>
      <c r="E6" s="9" t="n">
        <v>4000</v>
      </c>
      <c r="F6" s="7" t="n">
        <v>-5</v>
      </c>
      <c r="G6" s="10" t="n">
        <v>-20000</v>
      </c>
      <c r="H6" s="3" t="inlineStr">
        <is>
          <t>LOSS</t>
        </is>
      </c>
      <c r="I6" s="3" t="inlineStr">
        <is>
          <t>WTI 2026-07 / Crude Beta</t>
        </is>
      </c>
    </row>
    <row r="7">
      <c r="A7" s="3" t="inlineStr">
        <is>
          <t>PARALLEL_DOWN_5</t>
        </is>
      </c>
      <c r="B7" s="3" t="inlineStr">
        <is>
          <t>WTI</t>
        </is>
      </c>
      <c r="C7" s="3" t="inlineStr">
        <is>
          <t>2026-07</t>
        </is>
      </c>
      <c r="D7" s="3" t="inlineStr">
        <is>
          <t>Physical Gulf</t>
        </is>
      </c>
      <c r="E7" s="9" t="n">
        <v>150000</v>
      </c>
      <c r="F7" s="7" t="n">
        <v>-5</v>
      </c>
      <c r="G7" s="10" t="n">
        <v>-750000</v>
      </c>
      <c r="H7" s="3" t="inlineStr">
        <is>
          <t>LOSS</t>
        </is>
      </c>
      <c r="I7" s="3" t="inlineStr">
        <is>
          <t>WTI 2026-07 / Physical Gulf</t>
        </is>
      </c>
    </row>
  </sheetData>
  <autoFilter ref="A1:I7"/>
  <conditionalFormatting sqref="G2:G7">
    <cfRule type="cellIs" priority="1" operator="lessThan" dxfId="1">
      <formula>0</formula>
    </cfRule>
    <cfRule type="cellIs" priority="2" operator="greater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5" t="inlineStr">
        <is>
          <t>Assumptions and Controls</t>
        </is>
      </c>
    </row>
    <row r="2">
      <c r="A2" s="3" t="inlineStr">
        <is>
          <t>Synthetic demo data only.</t>
        </is>
      </c>
    </row>
    <row r="3">
      <c r="A3" s="3" t="inlineStr">
        <is>
          <t>Analytics only.</t>
        </is>
      </c>
    </row>
    <row r="4">
      <c r="A4" s="3" t="inlineStr">
        <is>
          <t>Not trade execution.</t>
        </is>
      </c>
    </row>
    <row r="5">
      <c r="A5" s="3" t="inlineStr">
        <is>
          <t>No licensed market data.</t>
        </is>
      </c>
    </row>
    <row r="6">
      <c r="A6" s="3" t="inlineStr">
        <is>
          <t>Hedge recommendations require human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2026-05-17T16:21:00Z</dcterms:created>
  <dcterms:modified xsi:type="dcterms:W3CDTF">2026-05-17T16:21:00Z</dcterms:modified>
</cp:coreProperties>
</file>